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nie Nguyen\Desktop\MY WORK\MY EXCEL TEMPLATE\"/>
    </mc:Choice>
  </mc:AlternateContent>
  <xr:revisionPtr revIDLastSave="0" documentId="13_ncr:1_{3D223CC1-A6EC-4998-B6CC-29B64F9C8407}" xr6:coauthVersionLast="47" xr6:coauthVersionMax="47" xr10:uidLastSave="{00000000-0000-0000-0000-000000000000}"/>
  <bookViews>
    <workbookView xWindow="-120" yWindow="-120" windowWidth="20730" windowHeight="11160" activeTab="1" xr2:uid="{673170E6-AB16-4C36-9C1B-E9CBF3AB6F28}"/>
  </bookViews>
  <sheets>
    <sheet name="Template1" sheetId="1" r:id="rId1"/>
    <sheet name="Template2" sheetId="4" r:id="rId2"/>
    <sheet name="Task Details" sheetId="5" r:id="rId3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4" l="1"/>
  <c r="N3" i="4" s="1"/>
  <c r="B7" i="4" a="1"/>
  <c r="B7" i="4" s="1"/>
  <c r="B5" i="4"/>
  <c r="H12" i="1"/>
  <c r="G12" i="1"/>
  <c r="F12" i="1"/>
  <c r="E12" i="1"/>
  <c r="D12" i="1"/>
  <c r="C12" i="1"/>
  <c r="B12" i="1"/>
  <c r="H11" i="1"/>
  <c r="G11" i="1"/>
  <c r="F11" i="1"/>
  <c r="E11" i="1"/>
  <c r="D11" i="1"/>
  <c r="C11" i="1"/>
  <c r="B11" i="1"/>
  <c r="H10" i="1"/>
  <c r="G10" i="1"/>
  <c r="F10" i="1"/>
  <c r="E10" i="1"/>
  <c r="D10" i="1"/>
  <c r="C10" i="1"/>
  <c r="B10" i="1"/>
  <c r="H9" i="1"/>
  <c r="G9" i="1"/>
  <c r="F9" i="1"/>
  <c r="E9" i="1"/>
  <c r="D9" i="1"/>
  <c r="C9" i="1"/>
  <c r="B9" i="1"/>
  <c r="H8" i="1"/>
  <c r="G8" i="1"/>
  <c r="F8" i="1"/>
  <c r="E8" i="1"/>
  <c r="D8" i="1"/>
  <c r="C8" i="1"/>
  <c r="B8" i="1"/>
  <c r="H7" i="1"/>
  <c r="G7" i="1"/>
  <c r="F7" i="1"/>
  <c r="E7" i="1"/>
  <c r="D7" i="1"/>
  <c r="C7" i="1"/>
  <c r="B7" i="1"/>
  <c r="B5" i="1"/>
  <c r="K6" i="4" l="1" a="1"/>
  <c r="N4" i="4" s="1"/>
  <c r="K6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<sst xmlns="http://schemas.openxmlformats.org/spreadsheetml/2006/main" count="46" uniqueCount="27">
  <si>
    <t>Mon</t>
  </si>
  <si>
    <t>Tue</t>
  </si>
  <si>
    <t>Wed</t>
  </si>
  <si>
    <t>Thu</t>
  </si>
  <si>
    <t>Fri</t>
  </si>
  <si>
    <t>Sat</t>
  </si>
  <si>
    <t>Sun</t>
  </si>
  <si>
    <t>Date</t>
  </si>
  <si>
    <t>Tasks</t>
  </si>
  <si>
    <t>Status</t>
  </si>
  <si>
    <t>Note</t>
  </si>
  <si>
    <t>Not Start Yet</t>
  </si>
  <si>
    <t>Buy Books</t>
  </si>
  <si>
    <t>Read Syllabus</t>
  </si>
  <si>
    <t>Completed</t>
  </si>
  <si>
    <t>WIP</t>
  </si>
  <si>
    <t>Work on Excel Templates Project</t>
  </si>
  <si>
    <t>Studyfor Business Statistics</t>
  </si>
  <si>
    <t>Do the Quiz 1 of BS</t>
  </si>
  <si>
    <t>Get the student ID Card</t>
  </si>
  <si>
    <t>Start Date</t>
  </si>
  <si>
    <t>End Date</t>
  </si>
  <si>
    <t>Pay 2nd installment of Tuition</t>
  </si>
  <si>
    <t>Pay 3nd installment of Tuition</t>
  </si>
  <si>
    <t>Exam 1</t>
  </si>
  <si>
    <t>Project UTA Due</t>
  </si>
  <si>
    <t>CFA Exam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</si>
</sst>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"/>
  </numFmts>
  <fonts count="1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Old English Text MT"/>
      <family val="4"/>
    </font>
    <font>
      <sz val="8"/>
      <color theme="1"/>
      <name val="Old English Text MT"/>
      <family val="4"/>
    </font>
    <font>
      <b/>
      <sz val="12"/>
      <color theme="1"/>
      <name val="Old English Text MT"/>
      <family val="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 tint="0.34998626667073579"/>
      <name val="Old English Text MT"/>
      <family val="4"/>
    </font>
    <font>
      <sz val="9"/>
      <color theme="1"/>
      <name val="Calibri"/>
      <family val="2"/>
      <scheme val="minor"/>
    </font>
    <font>
      <b/>
      <sz val="15"/>
      <color theme="9" tint="-0.249977111117893"/>
      <name val="Calibri"/>
      <family val="2"/>
      <scheme val="minor"/>
    </font>
    <font>
      <sz val="8"/>
      <color theme="0"/>
      <name val="Calibri"/>
      <family val="2"/>
      <scheme val="minor"/>
    </font>
    <font>
      <i/>
      <sz val="8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164" fontId="3" fillId="0" borderId="1" xfId="0" quotePrefix="1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0" fillId="0" borderId="3" xfId="0" applyBorder="1"/>
    <xf numFmtId="14" fontId="0" fillId="0" borderId="3" xfId="0" applyNumberFormat="1" applyBorder="1"/>
    <xf numFmtId="0" fontId="6" fillId="5" borderId="3" xfId="0" applyFont="1" applyFill="1" applyBorder="1"/>
    <xf numFmtId="164" fontId="8" fillId="0" borderId="0" xfId="0" applyNumberFormat="1" applyFont="1" applyAlignment="1">
      <alignment horizontal="center" vertical="center"/>
    </xf>
    <xf numFmtId="0" fontId="8" fillId="0" borderId="0" xfId="0" applyFont="1"/>
    <xf numFmtId="164" fontId="8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8" fillId="0" borderId="0" xfId="0" applyNumberFormat="1" applyFont="1" applyAlignment="1">
      <alignment horizontal="left"/>
    </xf>
    <xf numFmtId="0" fontId="8" fillId="0" borderId="0" xfId="0" applyNumberFormat="1" applyFont="1"/>
    <xf numFmtId="0" fontId="0" fillId="0" borderId="3" xfId="0" applyNumberFormat="1" applyBorder="1"/>
    <xf numFmtId="9" fontId="0" fillId="0" borderId="0" xfId="1" applyFont="1"/>
    <xf numFmtId="9" fontId="9" fillId="0" borderId="0" xfId="1" applyFont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4" fontId="11" fillId="6" borderId="0" xfId="0" applyNumberFormat="1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7">
    <dxf>
      <font>
        <color theme="4"/>
      </font>
    </dxf>
    <dxf>
      <font>
        <color rgb="FFFF0000"/>
      </font>
    </dxf>
    <dxf>
      <font>
        <color theme="7" tint="-0.24994659260841701"/>
      </font>
      <fill>
        <patternFill patternType="none">
          <bgColor auto="1"/>
        </patternFill>
      </fill>
    </dxf>
    <dxf>
      <font>
        <strike/>
        <color theme="8" tint="-0.24994659260841701"/>
      </font>
      <fill>
        <patternFill patternType="none">
          <bgColor auto="1"/>
        </patternFill>
      </fill>
    </dxf>
    <dxf>
      <font>
        <color theme="1"/>
      </font>
      <fill>
        <patternFill patternType="solid">
          <bgColor theme="8" tint="0.59996337778862885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3251313630940967E-3"/>
          <c:y val="6.631941444388216E-2"/>
          <c:w val="0.99567486863690591"/>
          <c:h val="0.9115741140748238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6">
                    <a:lumMod val="67000"/>
                  </a:schemeClr>
                </a:gs>
                <a:gs pos="48000">
                  <a:schemeClr val="accent6">
                    <a:lumMod val="97000"/>
                    <a:lumOff val="3000"/>
                  </a:schemeClr>
                </a:gs>
                <a:gs pos="100000">
                  <a:schemeClr val="accent6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Template2!$N$4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E3-47AD-BC7A-CC270888C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541439"/>
        <c:axId val="16542271"/>
      </c:barChart>
      <c:catAx>
        <c:axId val="16541439"/>
        <c:scaling>
          <c:orientation val="minMax"/>
        </c:scaling>
        <c:delete val="1"/>
        <c:axPos val="l"/>
        <c:majorTickMark val="none"/>
        <c:minorTickMark val="none"/>
        <c:tickLblPos val="nextTo"/>
        <c:crossAx val="16542271"/>
        <c:crosses val="autoZero"/>
        <c:auto val="1"/>
        <c:lblAlgn val="ctr"/>
        <c:lblOffset val="100"/>
        <c:noMultiLvlLbl val="0"/>
      </c:catAx>
      <c:valAx>
        <c:axId val="16542271"/>
        <c:scaling>
          <c:orientation val="minMax"/>
          <c:max val="1"/>
        </c:scaling>
        <c:delete val="1"/>
        <c:axPos val="b"/>
        <c:numFmt formatCode="0%" sourceLinked="1"/>
        <c:majorTickMark val="none"/>
        <c:minorTickMark val="none"/>
        <c:tickLblPos val="nextTo"/>
        <c:crossAx val="16541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D$2" max="30000" page="10" val="2023"/>
</file>

<file path=xl/ctrlProps/ctrlProp2.xml><?xml version="1.0" encoding="utf-8"?>
<formControlPr xmlns="http://schemas.microsoft.com/office/spreadsheetml/2009/9/main" objectType="Spin" dx="22" fmlaLink="$D$3" max="12" min="1" page="10" val="4"/>
</file>

<file path=xl/ctrlProps/ctrlProp3.xml><?xml version="1.0" encoding="utf-8"?>
<formControlPr xmlns="http://schemas.microsoft.com/office/spreadsheetml/2009/9/main" objectType="Spin" dx="22" fmlaLink="$D$2" max="30000" page="10" val="2022"/>
</file>

<file path=xl/ctrlProps/ctrlProp4.xml><?xml version="1.0" encoding="utf-8"?>
<formControlPr xmlns="http://schemas.microsoft.com/office/spreadsheetml/2009/9/main" objectType="Spin" dx="22" fmlaLink="$D$3" max="12" min="1" page="10" val="8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10838</xdr:colOff>
          <xdr:row>1</xdr:row>
          <xdr:rowOff>2956</xdr:rowOff>
        </xdr:from>
        <xdr:to>
          <xdr:col>5</xdr:col>
          <xdr:colOff>145502</xdr:colOff>
          <xdr:row>1</xdr:row>
          <xdr:rowOff>269328</xdr:rowOff>
        </xdr:to>
        <xdr:sp macro="" textlink="">
          <xdr:nvSpPr>
            <xdr:cNvPr id="1033" name="Spinner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0</xdr:rowOff>
        </xdr:from>
        <xdr:to>
          <xdr:col>5</xdr:col>
          <xdr:colOff>142875</xdr:colOff>
          <xdr:row>2</xdr:row>
          <xdr:rowOff>266700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394AA24B-2C09-4423-BDDA-297FEAF4DC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10838</xdr:colOff>
          <xdr:row>1</xdr:row>
          <xdr:rowOff>2956</xdr:rowOff>
        </xdr:from>
        <xdr:to>
          <xdr:col>5</xdr:col>
          <xdr:colOff>145502</xdr:colOff>
          <xdr:row>1</xdr:row>
          <xdr:rowOff>269328</xdr:rowOff>
        </xdr:to>
        <xdr:sp macro="" textlink="">
          <xdr:nvSpPr>
            <xdr:cNvPr id="4097" name="Spinner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37A6B3EB-4922-43C7-86C8-246856DC8F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0</xdr:rowOff>
        </xdr:from>
        <xdr:to>
          <xdr:col>5</xdr:col>
          <xdr:colOff>142875</xdr:colOff>
          <xdr:row>2</xdr:row>
          <xdr:rowOff>266700</xdr:rowOff>
        </xdr:to>
        <xdr:sp macro="" textlink="">
          <xdr:nvSpPr>
            <xdr:cNvPr id="4098" name="Spinne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A521CE76-8F58-46A1-A106-C47D796C1B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0</xdr:colOff>
      <xdr:row>3</xdr:row>
      <xdr:rowOff>105104</xdr:rowOff>
    </xdr:from>
    <xdr:to>
      <xdr:col>13</xdr:col>
      <xdr:colOff>0</xdr:colOff>
      <xdr:row>3</xdr:row>
      <xdr:rowOff>348155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02EB28E-19A1-493C-B82D-075C4D7B5B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F645-40A5-407C-B1EE-6843153701A2}">
  <sheetPr codeName="Sheet1"/>
  <dimension ref="B1:J12"/>
  <sheetViews>
    <sheetView zoomScale="145" zoomScaleNormal="145" workbookViewId="0">
      <selection activeCell="K7" sqref="K7"/>
    </sheetView>
  </sheetViews>
  <sheetFormatPr defaultRowHeight="15" x14ac:dyDescent="0.25"/>
  <cols>
    <col min="2" max="8" width="4.28515625" style="2" customWidth="1"/>
  </cols>
  <sheetData>
    <row r="1" spans="2:10" ht="15" customHeight="1" x14ac:dyDescent="0.25"/>
    <row r="2" spans="2:10" ht="21.75" customHeight="1" x14ac:dyDescent="0.25">
      <c r="D2" s="8">
        <v>2023</v>
      </c>
      <c r="E2" s="8"/>
    </row>
    <row r="3" spans="2:10" ht="21.75" customHeight="1" x14ac:dyDescent="0.25">
      <c r="D3" s="9">
        <v>4</v>
      </c>
      <c r="E3" s="9"/>
      <c r="F3" s="3"/>
      <c r="J3" s="1"/>
    </row>
    <row r="5" spans="2:10" x14ac:dyDescent="0.25">
      <c r="B5" s="7" t="str">
        <f>TEXT(DATE(D2,D3,1),"MMMM")&amp;" "&amp;D2</f>
        <v>April 2023</v>
      </c>
      <c r="C5" s="7"/>
      <c r="D5" s="7"/>
      <c r="E5" s="7"/>
      <c r="F5" s="7"/>
      <c r="G5" s="7"/>
      <c r="H5" s="7"/>
    </row>
    <row r="6" spans="2:10" x14ac:dyDescent="0.25">
      <c r="B6" s="4" t="s">
        <v>0</v>
      </c>
      <c r="C6" s="4" t="s">
        <v>1</v>
      </c>
      <c r="D6" s="4" t="s">
        <v>2</v>
      </c>
      <c r="E6" s="4" t="s">
        <v>3</v>
      </c>
      <c r="F6" s="4" t="s">
        <v>4</v>
      </c>
      <c r="G6" s="4" t="s">
        <v>5</v>
      </c>
      <c r="H6" s="4" t="s">
        <v>6</v>
      </c>
    </row>
    <row r="7" spans="2:10" x14ac:dyDescent="0.25">
      <c r="B7" s="5" t="str">
        <f>IF(WEEKDAY(DATE($D$2,$D$3,1),2)=COLUMNS($B6:B6),1,IF(ISNUMBER(A7),A7+1,""))</f>
        <v/>
      </c>
      <c r="C7" s="5" t="str">
        <f>IF(WEEKDAY(DATE($D$2,$D$3,1),2)=COLUMNS($B6:C6),1,IF(ISNUMBER(B7),B7+1,""))</f>
        <v/>
      </c>
      <c r="D7" s="5" t="str">
        <f>IF(WEEKDAY(DATE($D$2,$D$3,1),2)=COLUMNS($B6:D6),1,IF(ISNUMBER(C7),C7+1,""))</f>
        <v/>
      </c>
      <c r="E7" s="5" t="str">
        <f>IF(WEEKDAY(DATE($D$2,$D$3,1),2)=COLUMNS($B6:E6),1,IF(ISNUMBER(D7),D7+1,""))</f>
        <v/>
      </c>
      <c r="F7" s="5" t="str">
        <f>IF(WEEKDAY(DATE($D$2,$D$3,1),2)=COLUMNS($B6:F6),1,IF(ISNUMBER(E7),E7+1,""))</f>
        <v/>
      </c>
      <c r="G7" s="5">
        <f>IF(WEEKDAY(DATE($D$2,$D$3,1),2)=COLUMNS($B6:G6),1,IF(ISNUMBER(F7),F7+1,""))</f>
        <v>1</v>
      </c>
      <c r="H7" s="5">
        <f>IF(WEEKDAY(DATE($D$2,$D$3,1),2)=COLUMNS($B6:H6),1,IF(ISNUMBER(G7),G7+1,""))</f>
        <v>2</v>
      </c>
    </row>
    <row r="8" spans="2:10" x14ac:dyDescent="0.25">
      <c r="B8" s="5">
        <f>IF($H7&lt;DAY(DATE($D$2,$D$3+1,1)-1),H7+1,"")</f>
        <v>3</v>
      </c>
      <c r="C8" s="5">
        <f t="shared" ref="C8:H12" si="0">IF(B8&lt;DAY(DATE($D$2,$D$3+1,1)-1),B8+1,"")</f>
        <v>4</v>
      </c>
      <c r="D8" s="5">
        <f t="shared" si="0"/>
        <v>5</v>
      </c>
      <c r="E8" s="5">
        <f t="shared" si="0"/>
        <v>6</v>
      </c>
      <c r="F8" s="5">
        <f t="shared" si="0"/>
        <v>7</v>
      </c>
      <c r="G8" s="5">
        <f t="shared" si="0"/>
        <v>8</v>
      </c>
      <c r="H8" s="5">
        <f t="shared" si="0"/>
        <v>9</v>
      </c>
    </row>
    <row r="9" spans="2:10" x14ac:dyDescent="0.25">
      <c r="B9" s="5">
        <f>IF($H8&lt;DAY(DATE($D$2,$D$3+1,1)-1),H8+1,"")</f>
        <v>10</v>
      </c>
      <c r="C9" s="5">
        <f t="shared" si="0"/>
        <v>11</v>
      </c>
      <c r="D9" s="5">
        <f t="shared" si="0"/>
        <v>12</v>
      </c>
      <c r="E9" s="5">
        <f t="shared" si="0"/>
        <v>13</v>
      </c>
      <c r="F9" s="5">
        <f t="shared" si="0"/>
        <v>14</v>
      </c>
      <c r="G9" s="5">
        <f t="shared" si="0"/>
        <v>15</v>
      </c>
      <c r="H9" s="5">
        <f t="shared" si="0"/>
        <v>16</v>
      </c>
    </row>
    <row r="10" spans="2:10" x14ac:dyDescent="0.25">
      <c r="B10" s="5">
        <f>IF($H9&lt;DAY(DATE($D$2,$D$3+1,1)-1),H9+1,"")</f>
        <v>17</v>
      </c>
      <c r="C10" s="5">
        <f t="shared" si="0"/>
        <v>18</v>
      </c>
      <c r="D10" s="5">
        <f t="shared" si="0"/>
        <v>19</v>
      </c>
      <c r="E10" s="5">
        <f t="shared" si="0"/>
        <v>20</v>
      </c>
      <c r="F10" s="5">
        <f t="shared" si="0"/>
        <v>21</v>
      </c>
      <c r="G10" s="5">
        <f t="shared" si="0"/>
        <v>22</v>
      </c>
      <c r="H10" s="5">
        <f t="shared" si="0"/>
        <v>23</v>
      </c>
    </row>
    <row r="11" spans="2:10" x14ac:dyDescent="0.25">
      <c r="B11" s="5">
        <f>IF($H10&lt;DAY(DATE($D$2,$D$3+1,1)-1),H10+1,"")</f>
        <v>24</v>
      </c>
      <c r="C11" s="5">
        <f t="shared" si="0"/>
        <v>25</v>
      </c>
      <c r="D11" s="5">
        <f t="shared" si="0"/>
        <v>26</v>
      </c>
      <c r="E11" s="5">
        <f t="shared" si="0"/>
        <v>27</v>
      </c>
      <c r="F11" s="5">
        <f t="shared" si="0"/>
        <v>28</v>
      </c>
      <c r="G11" s="5">
        <f t="shared" si="0"/>
        <v>29</v>
      </c>
      <c r="H11" s="5">
        <f t="shared" si="0"/>
        <v>30</v>
      </c>
    </row>
    <row r="12" spans="2:10" x14ac:dyDescent="0.25">
      <c r="B12" s="5" t="str">
        <f>IF($H11&lt;DAY(DATE($D$2,$D$3+1,1)-1),H11+1,"")</f>
        <v/>
      </c>
      <c r="C12" s="5" t="str">
        <f t="shared" si="0"/>
        <v/>
      </c>
      <c r="D12" s="5" t="str">
        <f t="shared" si="0"/>
        <v/>
      </c>
      <c r="E12" s="5" t="str">
        <f t="shared" si="0"/>
        <v/>
      </c>
      <c r="F12" s="5" t="str">
        <f t="shared" si="0"/>
        <v/>
      </c>
      <c r="G12" s="5" t="str">
        <f t="shared" si="0"/>
        <v/>
      </c>
      <c r="H12" s="5" t="str">
        <f t="shared" si="0"/>
        <v/>
      </c>
    </row>
  </sheetData>
  <mergeCells count="3">
    <mergeCell ref="B5:H5"/>
    <mergeCell ref="D2:E2"/>
    <mergeCell ref="D3:E3"/>
  </mergeCells>
  <conditionalFormatting sqref="B7:H12">
    <cfRule type="expression" dxfId="6" priority="1">
      <formula>ISNUMBER(B7:H12)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Spinner 9">
              <controlPr defaultSize="0" autoPict="0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5</xdr:col>
                    <xdr:colOff>142875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Spinner 10">
              <controlPr defaultSize="0" autoPict="0">
                <anchor moveWithCells="1" sizeWithCells="1">
                  <from>
                    <xdr:col>5</xdr:col>
                    <xdr:colOff>9525</xdr:colOff>
                    <xdr:row>2</xdr:row>
                    <xdr:rowOff>0</xdr:rowOff>
                  </from>
                  <to>
                    <xdr:col>5</xdr:col>
                    <xdr:colOff>142875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E2963-6C69-4A06-8BE0-2F6080C11152}">
  <sheetPr codeName="Sheet2"/>
  <dimension ref="B1:N14"/>
  <sheetViews>
    <sheetView showGridLines="0" tabSelected="1" zoomScale="145" zoomScaleNormal="145" workbookViewId="0">
      <selection activeCell="N5" sqref="N5"/>
    </sheetView>
  </sheetViews>
  <sheetFormatPr defaultRowHeight="15" x14ac:dyDescent="0.25"/>
  <cols>
    <col min="2" max="8" width="4.28515625" style="2" customWidth="1"/>
    <col min="9" max="9" width="1.5703125" customWidth="1"/>
    <col min="10" max="10" width="7.28515625" customWidth="1"/>
    <col min="11" max="11" width="10.140625" style="14" bestFit="1" customWidth="1"/>
    <col min="12" max="12" width="24.28515625" style="15" customWidth="1"/>
    <col min="13" max="13" width="10.85546875" style="15" customWidth="1"/>
    <col min="14" max="14" width="10" style="19" customWidth="1"/>
  </cols>
  <sheetData>
    <row r="1" spans="2:14" ht="15" customHeight="1" x14ac:dyDescent="0.25">
      <c r="K1"/>
      <c r="L1"/>
      <c r="M1"/>
      <c r="N1"/>
    </row>
    <row r="2" spans="2:14" ht="21.75" customHeight="1" x14ac:dyDescent="0.25">
      <c r="D2" s="8">
        <v>2022</v>
      </c>
      <c r="E2" s="8"/>
      <c r="K2" s="23" t="s">
        <v>20</v>
      </c>
      <c r="L2"/>
      <c r="M2"/>
      <c r="N2" s="23" t="s">
        <v>21</v>
      </c>
    </row>
    <row r="3" spans="2:14" ht="21.75" customHeight="1" x14ac:dyDescent="0.25">
      <c r="D3" s="9">
        <v>8</v>
      </c>
      <c r="E3" s="9"/>
      <c r="F3" s="3"/>
      <c r="J3" s="1"/>
      <c r="K3" s="24">
        <f>DATE(D2,D3,1)</f>
        <v>44774</v>
      </c>
      <c r="L3"/>
      <c r="M3"/>
      <c r="N3" s="24">
        <f>EOMONTH(K3,0)</f>
        <v>44804</v>
      </c>
    </row>
    <row r="4" spans="2:14" ht="29.25" customHeight="1" x14ac:dyDescent="0.25">
      <c r="K4"/>
      <c r="L4"/>
      <c r="M4" s="21"/>
      <c r="N4" s="22" t="str">
        <f>IFERROR(COUNTIF(M6:M1048576,"Completed")/COUNTA(M6:M1048576),"")</f>
        <v/>
      </c>
    </row>
    <row r="5" spans="2:14" ht="15.75" x14ac:dyDescent="0.25">
      <c r="B5" s="10" t="str">
        <f>TEXT(DATE(D2,D3,1),"MMMM")&amp;" "&amp;D2</f>
        <v>August 2022</v>
      </c>
      <c r="C5" s="10"/>
      <c r="D5" s="10"/>
      <c r="E5" s="10"/>
      <c r="F5" s="10"/>
      <c r="G5" s="10"/>
      <c r="H5" s="10"/>
      <c r="K5" s="13" t="s">
        <v>7</v>
      </c>
      <c r="L5" s="13" t="s">
        <v>8</v>
      </c>
      <c r="M5" s="13" t="s">
        <v>9</v>
      </c>
      <c r="N5" s="13" t="s">
        <v>10</v>
      </c>
    </row>
    <row r="6" spans="2:14" x14ac:dyDescent="0.25">
      <c r="B6" s="4" t="s">
        <v>0</v>
      </c>
      <c r="C6" s="4" t="s">
        <v>1</v>
      </c>
      <c r="D6" s="4" t="s">
        <v>2</v>
      </c>
      <c r="E6" s="4" t="s">
        <v>3</v>
      </c>
      <c r="F6" s="4" t="s">
        <v>4</v>
      </c>
      <c r="G6" s="4" t="s">
        <v>5</v>
      </c>
      <c r="H6" s="4" t="s">
        <v>6</v>
      </c>
      <c r="K6" s="16" t="str" cm="1">
        <f t="array" ref="K6">_xlfn._xlws.FILTER('Task Details'!A:D,('Task Details'!A:A&gt;=Template2!K3)*('Task Details'!A:A&lt;=Template2!N3),"Don’t have any tasks")</f>
        <v>Don’t have any tasks</v>
      </c>
      <c r="L6" s="17"/>
      <c r="M6" s="17"/>
      <c r="N6" s="18"/>
    </row>
    <row r="7" spans="2:14" x14ac:dyDescent="0.25">
      <c r="B7" s="6" cm="1">
        <f t="array" ref="B7:H12">_xlfn.SEQUENCE(6,7,DATE(D2,D3,1)-WEEKDAY(DATE(D2,D3,1),2)+1)</f>
        <v>44774</v>
      </c>
      <c r="C7" s="6">
        <v>44775</v>
      </c>
      <c r="D7" s="6">
        <v>44776</v>
      </c>
      <c r="E7" s="6">
        <v>44777</v>
      </c>
      <c r="F7" s="6">
        <v>44778</v>
      </c>
      <c r="G7" s="6">
        <v>44779</v>
      </c>
      <c r="H7" s="6">
        <v>44780</v>
      </c>
      <c r="K7" s="16"/>
      <c r="L7" s="17"/>
      <c r="M7" s="17"/>
      <c r="N7" s="18"/>
    </row>
    <row r="8" spans="2:14" x14ac:dyDescent="0.25">
      <c r="B8" s="6">
        <v>44781</v>
      </c>
      <c r="C8" s="6">
        <v>44782</v>
      </c>
      <c r="D8" s="6">
        <v>44783</v>
      </c>
      <c r="E8" s="6">
        <v>44784</v>
      </c>
      <c r="F8" s="6">
        <v>44785</v>
      </c>
      <c r="G8" s="6">
        <v>44786</v>
      </c>
      <c r="H8" s="6">
        <v>44787</v>
      </c>
      <c r="K8" s="16"/>
      <c r="L8" s="17"/>
      <c r="M8" s="17"/>
      <c r="N8" s="18"/>
    </row>
    <row r="9" spans="2:14" x14ac:dyDescent="0.25">
      <c r="B9" s="6">
        <v>44788</v>
      </c>
      <c r="C9" s="6">
        <v>44789</v>
      </c>
      <c r="D9" s="6">
        <v>44790</v>
      </c>
      <c r="E9" s="6">
        <v>44791</v>
      </c>
      <c r="F9" s="6">
        <v>44792</v>
      </c>
      <c r="G9" s="6">
        <v>44793</v>
      </c>
      <c r="H9" s="6">
        <v>44794</v>
      </c>
      <c r="K9" s="16"/>
      <c r="L9" s="17"/>
      <c r="M9" s="17"/>
      <c r="N9" s="18"/>
    </row>
    <row r="10" spans="2:14" x14ac:dyDescent="0.25">
      <c r="B10" s="6">
        <v>44795</v>
      </c>
      <c r="C10" s="6">
        <v>44796</v>
      </c>
      <c r="D10" s="6">
        <v>44797</v>
      </c>
      <c r="E10" s="6">
        <v>44798</v>
      </c>
      <c r="F10" s="6">
        <v>44799</v>
      </c>
      <c r="G10" s="6">
        <v>44800</v>
      </c>
      <c r="H10" s="6">
        <v>44801</v>
      </c>
      <c r="K10" s="16"/>
      <c r="L10" s="17"/>
      <c r="M10" s="17"/>
      <c r="N10" s="18"/>
    </row>
    <row r="11" spans="2:14" x14ac:dyDescent="0.25">
      <c r="B11" s="6">
        <v>44802</v>
      </c>
      <c r="C11" s="6">
        <v>44803</v>
      </c>
      <c r="D11" s="6">
        <v>44804</v>
      </c>
      <c r="E11" s="6">
        <v>44805</v>
      </c>
      <c r="F11" s="6">
        <v>44806</v>
      </c>
      <c r="G11" s="6">
        <v>44807</v>
      </c>
      <c r="H11" s="6">
        <v>44808</v>
      </c>
      <c r="K11" s="16"/>
      <c r="L11" s="17"/>
      <c r="M11" s="17"/>
      <c r="N11" s="18"/>
    </row>
    <row r="12" spans="2:14" x14ac:dyDescent="0.25">
      <c r="B12" s="6">
        <v>44809</v>
      </c>
      <c r="C12" s="6">
        <v>44810</v>
      </c>
      <c r="D12" s="6">
        <v>44811</v>
      </c>
      <c r="E12" s="6">
        <v>44812</v>
      </c>
      <c r="F12" s="6">
        <v>44813</v>
      </c>
      <c r="G12" s="6">
        <v>44814</v>
      </c>
      <c r="H12" s="6">
        <v>44815</v>
      </c>
      <c r="K12" s="16"/>
      <c r="L12" s="17"/>
      <c r="M12" s="17"/>
      <c r="N12" s="18"/>
    </row>
    <row r="13" spans="2:14" x14ac:dyDescent="0.25">
      <c r="K13" s="16"/>
      <c r="L13" s="17"/>
      <c r="M13" s="17"/>
      <c r="N13" s="18"/>
    </row>
    <row r="14" spans="2:14" x14ac:dyDescent="0.25">
      <c r="K14" s="16"/>
      <c r="L14" s="17"/>
      <c r="M14" s="17"/>
      <c r="N14" s="18"/>
    </row>
  </sheetData>
  <mergeCells count="3">
    <mergeCell ref="D2:E2"/>
    <mergeCell ref="D3:E3"/>
    <mergeCell ref="B5:H5"/>
  </mergeCells>
  <conditionalFormatting sqref="B7:H12">
    <cfRule type="expression" dxfId="5" priority="5">
      <formula>MONTH(B7)&lt;&gt;$D$3</formula>
    </cfRule>
    <cfRule type="expression" dxfId="4" priority="6">
      <formula>MONTH(B7)=$D$3</formula>
    </cfRule>
  </conditionalFormatting>
  <conditionalFormatting sqref="K6:N1048576">
    <cfRule type="expression" dxfId="3" priority="4">
      <formula>$M6="Completed"</formula>
    </cfRule>
    <cfRule type="expression" dxfId="2" priority="3">
      <formula>$M6="WIP"</formula>
    </cfRule>
    <cfRule type="expression" dxfId="1" priority="2">
      <formula>$M6="Not Start Yet"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pinner 1">
              <controlPr defaultSize="0" autoPict="0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5</xdr:col>
                    <xdr:colOff>142875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Spinner 2">
              <controlPr defaultSize="0" autoPict="0">
                <anchor moveWithCells="1" sizeWithCells="1">
                  <from>
                    <xdr:col>5</xdr:col>
                    <xdr:colOff>9525</xdr:colOff>
                    <xdr:row>2</xdr:row>
                    <xdr:rowOff>0</xdr:rowOff>
                  </from>
                  <to>
                    <xdr:col>5</xdr:col>
                    <xdr:colOff>142875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3620D7F-039D-4469-A9A8-DED4013E65A2}">
            <xm:f>COUNTIF('Task Details'!$A:$A,B7)&gt;0</xm:f>
            <x14:dxf>
              <font>
                <color theme="4"/>
              </font>
            </x14:dxf>
          </x14:cfRule>
          <xm:sqref>B7:H12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1B478-540D-4FE8-93BB-04BF73582022}">
  <dimension ref="A1:D16"/>
  <sheetViews>
    <sheetView workbookViewId="0">
      <selection activeCell="C12" sqref="C12"/>
    </sheetView>
  </sheetViews>
  <sheetFormatPr defaultRowHeight="15" x14ac:dyDescent="0.25"/>
  <cols>
    <col min="1" max="1" width="10.7109375" style="11" bestFit="1" customWidth="1"/>
    <col min="2" max="2" width="29.7109375" style="11" bestFit="1" customWidth="1"/>
    <col min="3" max="3" width="25.42578125" style="11" customWidth="1"/>
    <col min="4" max="4" width="9.140625" style="20"/>
  </cols>
  <sheetData>
    <row r="1" spans="1:4" x14ac:dyDescent="0.25">
      <c r="A1" s="13" t="s">
        <v>7</v>
      </c>
      <c r="B1" s="13" t="s">
        <v>8</v>
      </c>
      <c r="C1" s="13" t="s">
        <v>9</v>
      </c>
      <c r="D1" s="13" t="s">
        <v>10</v>
      </c>
    </row>
    <row r="2" spans="1:4" x14ac:dyDescent="0.25">
      <c r="A2" s="12">
        <v>44805</v>
      </c>
      <c r="B2" s="11" t="s">
        <v>22</v>
      </c>
      <c r="C2" s="11" t="s">
        <v>14</v>
      </c>
    </row>
    <row r="3" spans="1:4" x14ac:dyDescent="0.25">
      <c r="A3" s="12">
        <v>44806</v>
      </c>
      <c r="B3" s="11" t="s">
        <v>12</v>
      </c>
      <c r="C3" s="11" t="s">
        <v>11</v>
      </c>
    </row>
    <row r="4" spans="1:4" x14ac:dyDescent="0.25">
      <c r="A4" s="12">
        <v>44807</v>
      </c>
      <c r="B4" s="11" t="s">
        <v>13</v>
      </c>
      <c r="C4" s="11" t="s">
        <v>15</v>
      </c>
    </row>
    <row r="5" spans="1:4" x14ac:dyDescent="0.25">
      <c r="A5" s="12">
        <v>44807</v>
      </c>
      <c r="B5" s="11" t="s">
        <v>16</v>
      </c>
      <c r="C5" s="11" t="s">
        <v>15</v>
      </c>
    </row>
    <row r="6" spans="1:4" x14ac:dyDescent="0.25">
      <c r="A6" s="12">
        <v>44807</v>
      </c>
      <c r="B6" s="11" t="s">
        <v>17</v>
      </c>
      <c r="C6" s="11" t="s">
        <v>11</v>
      </c>
    </row>
    <row r="7" spans="1:4" x14ac:dyDescent="0.25">
      <c r="A7" s="12">
        <v>44808</v>
      </c>
      <c r="B7" s="11" t="s">
        <v>18</v>
      </c>
      <c r="C7" s="11" t="s">
        <v>14</v>
      </c>
    </row>
    <row r="8" spans="1:4" x14ac:dyDescent="0.25">
      <c r="A8" s="12">
        <v>44849</v>
      </c>
      <c r="B8" s="11" t="s">
        <v>19</v>
      </c>
      <c r="C8" s="11" t="s">
        <v>14</v>
      </c>
    </row>
    <row r="9" spans="1:4" x14ac:dyDescent="0.25">
      <c r="A9" s="12">
        <v>44850</v>
      </c>
      <c r="B9" s="11" t="s">
        <v>23</v>
      </c>
      <c r="C9" s="11" t="s">
        <v>15</v>
      </c>
    </row>
    <row r="10" spans="1:4" x14ac:dyDescent="0.25">
      <c r="A10" s="12">
        <v>44867</v>
      </c>
      <c r="B10" s="11" t="s">
        <v>24</v>
      </c>
      <c r="C10" s="11" t="s">
        <v>11</v>
      </c>
    </row>
    <row r="11" spans="1:4" x14ac:dyDescent="0.25">
      <c r="A11" s="12">
        <v>44874</v>
      </c>
      <c r="B11" s="11" t="s">
        <v>25</v>
      </c>
      <c r="C11" s="11" t="s">
        <v>15</v>
      </c>
    </row>
    <row r="12" spans="1:4" x14ac:dyDescent="0.25">
      <c r="A12" s="12">
        <v>44886</v>
      </c>
      <c r="B12" s="11" t="s">
        <v>26</v>
      </c>
      <c r="C12" s="11" t="s">
        <v>15</v>
      </c>
    </row>
    <row r="13" spans="1:4" x14ac:dyDescent="0.25">
      <c r="A13" s="12"/>
    </row>
    <row r="14" spans="1:4" x14ac:dyDescent="0.25">
      <c r="A14" s="12"/>
    </row>
    <row r="15" spans="1:4" x14ac:dyDescent="0.25">
      <c r="A15" s="12"/>
    </row>
    <row r="16" spans="1:4" x14ac:dyDescent="0.25">
      <c r="A16" s="12"/>
    </row>
  </sheetData>
  <dataValidations count="1">
    <dataValidation type="list" allowBlank="1" showInputMessage="1" showErrorMessage="1" sqref="C2:C198" xr:uid="{235AC410-51C3-40ED-A232-E712E0D9A463}">
      <formula1>"Completed, WIP, Not Start Yet"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Template1</vt:lpstr>
      <vt:lpstr>Template2</vt:lpstr>
      <vt:lpstr>Task 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Annie Nguyen</dc:creator>
  <cp:lastModifiedBy>Annie Nguyen</cp:lastModifiedBy>
  <dcterms:created xsi:type="dcterms:W3CDTF">2022-08-22T13:26:18Z</dcterms:created>
  <dcterms:modified xsi:type="dcterms:W3CDTF">2022-08-22T20:26:33Z</dcterms:modified>
</cp:coreProperties>
</file>